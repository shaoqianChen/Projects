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haoqianchen/Desktop/2020 Fall/ISE 583/Sim Game/"/>
    </mc:Choice>
  </mc:AlternateContent>
  <xr:revisionPtr revIDLastSave="0" documentId="13_ncr:1_{7B8991C8-BE3E-7740-A992-F023FD695C30}" xr6:coauthVersionLast="36" xr6:coauthVersionMax="36" xr10:uidLastSave="{00000000-0000-0000-0000-000000000000}"/>
  <bookViews>
    <workbookView xWindow="0" yWindow="460" windowWidth="38400" windowHeight="2064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G27" i="1" l="1"/>
  <c r="G26" i="1"/>
  <c r="G24" i="1"/>
  <c r="G25" i="1"/>
</calcChain>
</file>

<file path=xl/sharedStrings.xml><?xml version="1.0" encoding="utf-8"?>
<sst xmlns="http://schemas.openxmlformats.org/spreadsheetml/2006/main" count="164" uniqueCount="64">
  <si>
    <t>14</t>
  </si>
  <si>
    <t>113300 Bank Cash Account</t>
  </si>
  <si>
    <t/>
  </si>
  <si>
    <t>140000 Customers - Domestic Receivables</t>
  </si>
  <si>
    <t>300000 Raw materials</t>
  </si>
  <si>
    <t>792000 Finished goods</t>
  </si>
  <si>
    <t>15</t>
  </si>
  <si>
    <t>001000 Land</t>
  </si>
  <si>
    <t>002000 Buildings</t>
  </si>
  <si>
    <t>002010 Accumulated Depreciation - Buildings</t>
  </si>
  <si>
    <t>011000 Machinery and equipment</t>
  </si>
  <si>
    <t>011010 Accumulated depreciation - machinery and equipment</t>
  </si>
  <si>
    <t>7</t>
  </si>
  <si>
    <t>16</t>
  </si>
  <si>
    <t>113101 Bank Loan</t>
  </si>
  <si>
    <t>10</t>
  </si>
  <si>
    <t>18</t>
  </si>
  <si>
    <t>070000 Common stock</t>
  </si>
  <si>
    <t>5</t>
  </si>
  <si>
    <t>19</t>
  </si>
  <si>
    <t>11</t>
  </si>
  <si>
    <t>6</t>
  </si>
  <si>
    <t>8</t>
  </si>
  <si>
    <t>12</t>
  </si>
  <si>
    <t>800000 Sales revenues - domestic</t>
  </si>
  <si>
    <t>13</t>
  </si>
  <si>
    <t>893010 Total fin.prod. sold</t>
  </si>
  <si>
    <t>24</t>
  </si>
  <si>
    <t>400000 Consumption Raw Materials</t>
  </si>
  <si>
    <t>895000 Total Finished Products Produced</t>
  </si>
  <si>
    <t>25</t>
  </si>
  <si>
    <t>211120 Depreciation-buildings</t>
  </si>
  <si>
    <t>211130 Depreciation - machinery and equipment</t>
  </si>
  <si>
    <t>478100 Warehousing Costs</t>
  </si>
  <si>
    <t>500000 Direct labor costs</t>
  </si>
  <si>
    <t>510000 Factory Overhead Expenses</t>
  </si>
  <si>
    <t>21</t>
  </si>
  <si>
    <t>520000 Sales, General and Administrative Expenses</t>
  </si>
  <si>
    <t>22</t>
  </si>
  <si>
    <t>478000 Lean Manufacturing Program Expenses</t>
  </si>
  <si>
    <t>28</t>
  </si>
  <si>
    <t>477001 Advertising North-01</t>
  </si>
  <si>
    <t>34</t>
  </si>
  <si>
    <t>477020 Advertising South-11</t>
  </si>
  <si>
    <t>35</t>
  </si>
  <si>
    <t>477023 Advertising South-12</t>
  </si>
  <si>
    <t>48</t>
  </si>
  <si>
    <t>477032 Advertising South-15</t>
  </si>
  <si>
    <t>23</t>
  </si>
  <si>
    <t>27</t>
  </si>
  <si>
    <t>476900 Interest expenses</t>
  </si>
  <si>
    <t>26</t>
  </si>
  <si>
    <t>9</t>
  </si>
  <si>
    <t>3</t>
  </si>
  <si>
    <t>Financial Statement Item</t>
  </si>
  <si>
    <t>Text for B/S P&amp;L Item</t>
  </si>
  <si>
    <t>Total of Reporting Period</t>
  </si>
  <si>
    <t>Total of the Comparison Period</t>
  </si>
  <si>
    <t>Absolute Difference</t>
  </si>
  <si>
    <t>Percentage Difference</t>
  </si>
  <si>
    <t>Revenue</t>
  </si>
  <si>
    <t>Income</t>
  </si>
  <si>
    <t>Expenses</t>
  </si>
  <si>
    <t>Daily Expenses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</si>
</sst>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0" fillId="3" borderId="0" xfId="0" applyFill="1" applyAlignment="1">
      <alignment vertical="top"/>
    </xf>
    <xf numFmtId="4" fontId="0" fillId="3" borderId="0" xfId="0" applyNumberFormat="1" applyFill="1" applyAlignment="1">
      <alignment horizontal="right" vertical="top"/>
    </xf>
    <xf numFmtId="0" fontId="0" fillId="4" borderId="0" xfId="0" applyFill="1" applyAlignment="1">
      <alignment vertical="top"/>
    </xf>
    <xf numFmtId="4" fontId="0" fillId="4" borderId="0" xfId="0" applyNumberFormat="1" applyFill="1" applyAlignment="1">
      <alignment horizontal="right" vertical="top"/>
    </xf>
    <xf numFmtId="0" fontId="0" fillId="3" borderId="0" xfId="0" applyFill="1" applyBorder="1" applyAlignment="1">
      <alignment vertical="top"/>
    </xf>
    <xf numFmtId="4" fontId="0" fillId="3" borderId="0" xfId="0" applyNumberFormat="1" applyFill="1" applyBorder="1" applyAlignment="1">
      <alignment horizontal="right" vertical="top"/>
    </xf>
    <xf numFmtId="0" fontId="0" fillId="4" borderId="0" xfId="0" applyFill="1" applyBorder="1" applyAlignment="1">
      <alignment vertical="top"/>
    </xf>
    <xf numFmtId="4" fontId="0" fillId="4" borderId="0" xfId="0" applyNumberFormat="1" applyFill="1" applyBorder="1" applyAlignment="1">
      <alignment horizontal="right" vertical="top"/>
    </xf>
    <xf numFmtId="0" fontId="0" fillId="0" borderId="0" xfId="0" applyBorder="1" applyAlignment="1">
      <alignment vertical="top"/>
    </xf>
    <xf numFmtId="4" fontId="0" fillId="0" borderId="0" xfId="0" applyNumberFormat="1" applyBorder="1" applyAlignment="1">
      <alignment horizontal="right" vertical="top"/>
    </xf>
    <xf numFmtId="0" fontId="0" fillId="3" borderId="2" xfId="0" applyFill="1" applyBorder="1" applyAlignment="1">
      <alignment vertical="top"/>
    </xf>
    <xf numFmtId="0" fontId="0" fillId="3" borderId="3" xfId="0" applyFill="1" applyBorder="1" applyAlignment="1">
      <alignment vertical="top"/>
    </xf>
    <xf numFmtId="4" fontId="0" fillId="3" borderId="3" xfId="0" applyNumberFormat="1" applyFill="1" applyBorder="1" applyAlignment="1">
      <alignment horizontal="right" vertical="top"/>
    </xf>
    <xf numFmtId="4" fontId="0" fillId="3" borderId="4" xfId="0" applyNumberFormat="1" applyFill="1" applyBorder="1" applyAlignment="1">
      <alignment horizontal="right" vertical="top"/>
    </xf>
    <xf numFmtId="0" fontId="0" fillId="4" borderId="5" xfId="0" applyFill="1" applyBorder="1" applyAlignment="1">
      <alignment vertical="top"/>
    </xf>
    <xf numFmtId="4" fontId="0" fillId="4" borderId="6" xfId="0" applyNumberFormat="1" applyFill="1" applyBorder="1" applyAlignment="1">
      <alignment horizontal="right" vertical="top"/>
    </xf>
    <xf numFmtId="0" fontId="0" fillId="3" borderId="5" xfId="0" applyFill="1" applyBorder="1" applyAlignment="1">
      <alignment vertical="top"/>
    </xf>
    <xf numFmtId="4" fontId="0" fillId="3" borderId="6" xfId="0" applyNumberFormat="1" applyFill="1" applyBorder="1" applyAlignment="1">
      <alignment horizontal="right" vertical="top"/>
    </xf>
    <xf numFmtId="0" fontId="0" fillId="0" borderId="5" xfId="0" applyBorder="1" applyAlignment="1">
      <alignment vertical="top"/>
    </xf>
    <xf numFmtId="4" fontId="0" fillId="0" borderId="6" xfId="0" applyNumberFormat="1" applyBorder="1" applyAlignment="1">
      <alignment horizontal="right" vertical="top"/>
    </xf>
    <xf numFmtId="0" fontId="0" fillId="5" borderId="7" xfId="0" applyFill="1" applyBorder="1" applyAlignment="1">
      <alignment vertical="top"/>
    </xf>
    <xf numFmtId="0" fontId="0" fillId="5" borderId="8" xfId="0" applyFill="1" applyBorder="1" applyAlignment="1">
      <alignment vertical="top"/>
    </xf>
    <xf numFmtId="4" fontId="0" fillId="5" borderId="8" xfId="0" applyNumberFormat="1" applyFill="1" applyBorder="1" applyAlignment="1">
      <alignment horizontal="right" vertical="top"/>
    </xf>
    <xf numFmtId="4" fontId="0" fillId="6" borderId="0" xfId="0" applyNumberFormat="1" applyFill="1" applyAlignment="1">
      <alignment horizontal="right" vertical="top"/>
    </xf>
    <xf numFmtId="4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4"/>
  <sheetViews>
    <sheetView tabSelected="1" topLeftCell="B7" zoomScale="189" workbookViewId="0">
      <selection activeCell="H27" sqref="H27"/>
    </sheetView>
  </sheetViews>
  <sheetFormatPr baseColWidth="10" defaultColWidth="8.83203125" defaultRowHeight="13" x14ac:dyDescent="0.15"/>
  <cols>
    <col min="1" max="1" width="15" bestFit="1" customWidth="1"/>
    <col min="2" max="2" width="59" bestFit="1" customWidth="1"/>
    <col min="3" max="3" width="14" bestFit="1" customWidth="1"/>
    <col min="4" max="4" width="19" bestFit="1" customWidth="1"/>
    <col min="5" max="5" width="21" bestFit="1" customWidth="1"/>
    <col min="6" max="6" width="23" bestFit="1" customWidth="1"/>
    <col min="7" max="7" width="12.1640625" bestFit="1" customWidth="1"/>
  </cols>
  <sheetData>
    <row r="1" spans="1:6" ht="42" x14ac:dyDescent="0.15">
      <c r="A1" s="3" t="s">
        <v>54</v>
      </c>
      <c r="B1" s="1" t="s">
        <v>55</v>
      </c>
      <c r="C1" s="3" t="s">
        <v>56</v>
      </c>
      <c r="D1" s="3" t="s">
        <v>57</v>
      </c>
      <c r="E1" s="1" t="s">
        <v>58</v>
      </c>
      <c r="F1" s="1" t="s">
        <v>59</v>
      </c>
    </row>
    <row r="2" spans="1:6" x14ac:dyDescent="0.15">
      <c r="A2" t="s">
        <v>0</v>
      </c>
      <c r="B2" t="s">
        <v>1</v>
      </c>
      <c r="C2" s="2">
        <v>1562094.39</v>
      </c>
      <c r="D2" s="2">
        <v>0</v>
      </c>
      <c r="E2" s="2">
        <v>1562094.39</v>
      </c>
      <c r="F2" t="s">
        <v>2</v>
      </c>
    </row>
    <row r="3" spans="1:6" x14ac:dyDescent="0.15">
      <c r="A3" t="s">
        <v>0</v>
      </c>
      <c r="B3" t="s">
        <v>3</v>
      </c>
      <c r="C3" s="2">
        <v>1793793.82</v>
      </c>
      <c r="D3" s="2">
        <v>0</v>
      </c>
      <c r="E3" s="2">
        <v>1793793.82</v>
      </c>
      <c r="F3" t="s">
        <v>2</v>
      </c>
    </row>
    <row r="4" spans="1:6" x14ac:dyDescent="0.15">
      <c r="A4" t="s">
        <v>0</v>
      </c>
      <c r="B4" t="s">
        <v>4</v>
      </c>
      <c r="C4" s="2">
        <v>51661.05</v>
      </c>
      <c r="D4" s="2">
        <v>0</v>
      </c>
      <c r="E4" s="2">
        <v>51661.05</v>
      </c>
      <c r="F4" t="s">
        <v>2</v>
      </c>
    </row>
    <row r="5" spans="1:6" x14ac:dyDescent="0.15">
      <c r="A5" t="s">
        <v>0</v>
      </c>
      <c r="B5" t="s">
        <v>5</v>
      </c>
      <c r="C5" s="2">
        <v>36346.44</v>
      </c>
      <c r="D5" s="2">
        <v>0</v>
      </c>
      <c r="E5" s="2">
        <v>36346.44</v>
      </c>
      <c r="F5" t="s">
        <v>2</v>
      </c>
    </row>
    <row r="6" spans="1:6" x14ac:dyDescent="0.15">
      <c r="A6" t="s">
        <v>0</v>
      </c>
      <c r="B6" t="s">
        <v>2</v>
      </c>
      <c r="C6" s="2">
        <v>3443895.7</v>
      </c>
      <c r="D6" s="2">
        <v>0</v>
      </c>
      <c r="E6" s="2">
        <v>3443895.7</v>
      </c>
      <c r="F6" t="s">
        <v>2</v>
      </c>
    </row>
    <row r="7" spans="1:6" x14ac:dyDescent="0.15">
      <c r="A7" t="s">
        <v>6</v>
      </c>
      <c r="B7" t="s">
        <v>7</v>
      </c>
      <c r="C7" s="2">
        <v>500000</v>
      </c>
      <c r="D7" s="2">
        <v>0</v>
      </c>
      <c r="E7" s="2">
        <v>500000</v>
      </c>
      <c r="F7" t="s">
        <v>2</v>
      </c>
    </row>
    <row r="8" spans="1:6" x14ac:dyDescent="0.15">
      <c r="A8" t="s">
        <v>6</v>
      </c>
      <c r="B8" t="s">
        <v>8</v>
      </c>
      <c r="C8" s="2">
        <v>1500000</v>
      </c>
      <c r="D8" s="2">
        <v>0</v>
      </c>
      <c r="E8" s="2">
        <v>1500000</v>
      </c>
      <c r="F8" t="s">
        <v>2</v>
      </c>
    </row>
    <row r="9" spans="1:6" x14ac:dyDescent="0.15">
      <c r="A9" t="s">
        <v>6</v>
      </c>
      <c r="B9" t="s">
        <v>9</v>
      </c>
      <c r="C9" s="2">
        <v>-20000</v>
      </c>
      <c r="D9" s="2">
        <v>0</v>
      </c>
      <c r="E9" s="2">
        <v>-20000</v>
      </c>
      <c r="F9" t="s">
        <v>2</v>
      </c>
    </row>
    <row r="10" spans="1:6" x14ac:dyDescent="0.15">
      <c r="A10" t="s">
        <v>6</v>
      </c>
      <c r="B10" t="s">
        <v>10</v>
      </c>
      <c r="C10" s="2">
        <v>25000000</v>
      </c>
      <c r="D10" s="2">
        <v>0</v>
      </c>
      <c r="E10" s="2">
        <v>25000000</v>
      </c>
      <c r="F10" t="s">
        <v>2</v>
      </c>
    </row>
    <row r="11" spans="1:6" x14ac:dyDescent="0.15">
      <c r="A11" t="s">
        <v>6</v>
      </c>
      <c r="B11" t="s">
        <v>11</v>
      </c>
      <c r="C11" s="2">
        <v>-816666.64</v>
      </c>
      <c r="D11" s="2">
        <v>0</v>
      </c>
      <c r="E11" s="2">
        <v>-816666.64</v>
      </c>
      <c r="F11" t="s">
        <v>2</v>
      </c>
    </row>
    <row r="12" spans="1:6" x14ac:dyDescent="0.15">
      <c r="A12" t="s">
        <v>6</v>
      </c>
      <c r="B12" t="s">
        <v>2</v>
      </c>
      <c r="C12" s="2">
        <v>26163333.359999999</v>
      </c>
      <c r="D12" s="2">
        <v>0</v>
      </c>
      <c r="E12" s="2">
        <v>26163333.359999999</v>
      </c>
      <c r="F12" t="s">
        <v>2</v>
      </c>
    </row>
    <row r="13" spans="1:6" x14ac:dyDescent="0.15">
      <c r="A13" t="s">
        <v>12</v>
      </c>
      <c r="B13" t="s">
        <v>2</v>
      </c>
      <c r="C13" s="2">
        <v>29607229.059999999</v>
      </c>
      <c r="D13" s="2">
        <v>0</v>
      </c>
      <c r="E13" s="2">
        <v>29607229.059999999</v>
      </c>
      <c r="F13" t="s">
        <v>2</v>
      </c>
    </row>
    <row r="14" spans="1:6" x14ac:dyDescent="0.15">
      <c r="A14" t="s">
        <v>13</v>
      </c>
      <c r="B14" t="s">
        <v>14</v>
      </c>
      <c r="C14" s="2">
        <v>-7425848.6500000004</v>
      </c>
      <c r="D14" s="2">
        <v>0</v>
      </c>
      <c r="E14" s="2">
        <v>-7425848.6500000004</v>
      </c>
      <c r="F14" t="s">
        <v>2</v>
      </c>
    </row>
    <row r="15" spans="1:6" x14ac:dyDescent="0.15">
      <c r="A15" t="s">
        <v>13</v>
      </c>
      <c r="B15" t="s">
        <v>2</v>
      </c>
      <c r="C15" s="2">
        <v>-7425848.6500000004</v>
      </c>
      <c r="D15" s="2">
        <v>0</v>
      </c>
      <c r="E15" s="2">
        <v>-7425848.6500000004</v>
      </c>
      <c r="F15" t="s">
        <v>2</v>
      </c>
    </row>
    <row r="16" spans="1:6" x14ac:dyDescent="0.15">
      <c r="A16" t="s">
        <v>15</v>
      </c>
      <c r="B16" t="s">
        <v>2</v>
      </c>
      <c r="C16" s="2">
        <v>-7425848.6500000004</v>
      </c>
      <c r="D16" s="2">
        <v>0</v>
      </c>
      <c r="E16" s="2">
        <v>-7425848.6500000004</v>
      </c>
      <c r="F16" t="s">
        <v>2</v>
      </c>
    </row>
    <row r="17" spans="1:8" x14ac:dyDescent="0.15">
      <c r="A17" t="s">
        <v>16</v>
      </c>
      <c r="B17" t="s">
        <v>17</v>
      </c>
      <c r="C17" s="2">
        <v>-20000000</v>
      </c>
      <c r="D17" s="2">
        <v>0</v>
      </c>
      <c r="E17" s="2">
        <v>-20000000</v>
      </c>
      <c r="F17" t="s">
        <v>2</v>
      </c>
    </row>
    <row r="18" spans="1:8" x14ac:dyDescent="0.15">
      <c r="A18" t="s">
        <v>16</v>
      </c>
      <c r="B18" t="s">
        <v>2</v>
      </c>
      <c r="C18" s="2">
        <v>-20000000</v>
      </c>
      <c r="D18" s="2">
        <v>0</v>
      </c>
      <c r="E18" s="2">
        <v>-20000000</v>
      </c>
      <c r="F18" t="s">
        <v>2</v>
      </c>
    </row>
    <row r="19" spans="1:8" x14ac:dyDescent="0.15">
      <c r="A19" t="s">
        <v>18</v>
      </c>
      <c r="B19" t="s">
        <v>2</v>
      </c>
      <c r="C19" s="2">
        <v>-2181380.41</v>
      </c>
      <c r="D19" s="2">
        <v>0</v>
      </c>
      <c r="E19" s="27">
        <v>-2181380.41</v>
      </c>
    </row>
    <row r="20" spans="1:8" x14ac:dyDescent="0.15">
      <c r="A20" t="s">
        <v>19</v>
      </c>
      <c r="B20" t="s">
        <v>2</v>
      </c>
      <c r="C20" s="2">
        <v>-2181380.41</v>
      </c>
      <c r="D20" s="2">
        <v>0</v>
      </c>
      <c r="E20" s="2">
        <v>-2181380.41</v>
      </c>
      <c r="F20" t="s">
        <v>2</v>
      </c>
    </row>
    <row r="21" spans="1:8" x14ac:dyDescent="0.15">
      <c r="A21" t="s">
        <v>20</v>
      </c>
      <c r="B21" t="s">
        <v>2</v>
      </c>
      <c r="C21" s="2">
        <v>-22181380.41</v>
      </c>
      <c r="D21" s="2">
        <v>0</v>
      </c>
      <c r="E21" s="2">
        <v>-22181380.41</v>
      </c>
      <c r="F21" t="s">
        <v>2</v>
      </c>
    </row>
    <row r="22" spans="1:8" x14ac:dyDescent="0.15">
      <c r="A22" t="s">
        <v>21</v>
      </c>
      <c r="B22" t="s">
        <v>2</v>
      </c>
      <c r="C22" s="2">
        <v>-29607229.059999999</v>
      </c>
      <c r="D22" s="2">
        <v>0</v>
      </c>
      <c r="E22" s="2">
        <v>-29607229.059999999</v>
      </c>
      <c r="F22" t="s">
        <v>2</v>
      </c>
    </row>
    <row r="23" spans="1:8" x14ac:dyDescent="0.15">
      <c r="A23" t="s">
        <v>22</v>
      </c>
      <c r="B23" t="s">
        <v>2</v>
      </c>
      <c r="C23" s="2">
        <v>0</v>
      </c>
      <c r="D23" s="2">
        <v>0</v>
      </c>
      <c r="E23" s="2">
        <v>0</v>
      </c>
      <c r="F23" t="s">
        <v>2</v>
      </c>
    </row>
    <row r="24" spans="1:8" x14ac:dyDescent="0.15">
      <c r="A24" t="s">
        <v>23</v>
      </c>
      <c r="B24" t="s">
        <v>24</v>
      </c>
      <c r="C24" s="2">
        <v>-7345413.6200000001</v>
      </c>
      <c r="D24" s="2">
        <v>0</v>
      </c>
      <c r="E24" s="2">
        <v>-7345413.6200000001</v>
      </c>
      <c r="F24" t="s">
        <v>61</v>
      </c>
      <c r="G24" s="28">
        <f>E19</f>
        <v>-2181380.41</v>
      </c>
    </row>
    <row r="25" spans="1:8" x14ac:dyDescent="0.15">
      <c r="A25" t="s">
        <v>23</v>
      </c>
      <c r="B25" t="s">
        <v>2</v>
      </c>
      <c r="C25" s="2">
        <v>-7345413.6200000001</v>
      </c>
      <c r="D25" s="2">
        <v>0</v>
      </c>
      <c r="E25" s="27">
        <v>-7345413.6200000001</v>
      </c>
      <c r="F25" t="s">
        <v>60</v>
      </c>
      <c r="G25" s="28">
        <f>E25</f>
        <v>-7345413.6200000001</v>
      </c>
    </row>
    <row r="26" spans="1:8" x14ac:dyDescent="0.15">
      <c r="A26" t="s">
        <v>25</v>
      </c>
      <c r="B26" t="s">
        <v>26</v>
      </c>
      <c r="C26" s="2">
        <v>2551741.96</v>
      </c>
      <c r="D26" s="2">
        <v>0</v>
      </c>
      <c r="E26" s="2">
        <v>2551741.96</v>
      </c>
      <c r="F26" t="s">
        <v>62</v>
      </c>
      <c r="G26" s="28">
        <f>G25-G24</f>
        <v>-5164033.21</v>
      </c>
      <c r="H26">
        <v>-5164033.21</v>
      </c>
    </row>
    <row r="27" spans="1:8" x14ac:dyDescent="0.15">
      <c r="A27" t="s">
        <v>25</v>
      </c>
      <c r="B27" t="s">
        <v>2</v>
      </c>
      <c r="C27" s="2">
        <v>2551741.96</v>
      </c>
      <c r="D27" s="2">
        <v>0</v>
      </c>
      <c r="E27" s="2">
        <v>2551741.96</v>
      </c>
      <c r="F27" t="s">
        <v>63</v>
      </c>
      <c r="G27">
        <f>G26/80</f>
        <v>-64550.415125</v>
      </c>
      <c r="H27">
        <v>-64550.415125</v>
      </c>
    </row>
    <row r="28" spans="1:8" x14ac:dyDescent="0.15">
      <c r="A28" t="s">
        <v>27</v>
      </c>
      <c r="B28" t="s">
        <v>28</v>
      </c>
      <c r="C28" s="2">
        <v>2586306.9500000002</v>
      </c>
      <c r="D28" s="2">
        <v>0</v>
      </c>
      <c r="E28" s="2">
        <v>2586306.9500000002</v>
      </c>
      <c r="F28" t="s">
        <v>2</v>
      </c>
    </row>
    <row r="29" spans="1:8" x14ac:dyDescent="0.15">
      <c r="A29" t="s">
        <v>27</v>
      </c>
      <c r="B29" t="s">
        <v>29</v>
      </c>
      <c r="C29" s="2">
        <v>-2588088.4</v>
      </c>
      <c r="D29" s="2">
        <v>0</v>
      </c>
      <c r="E29" s="2">
        <v>-2588088.4</v>
      </c>
      <c r="F29" t="s">
        <v>2</v>
      </c>
    </row>
    <row r="30" spans="1:8" x14ac:dyDescent="0.15">
      <c r="A30" t="s">
        <v>27</v>
      </c>
      <c r="B30" t="s">
        <v>2</v>
      </c>
      <c r="C30" s="2">
        <v>-1781.45</v>
      </c>
      <c r="D30" s="2">
        <v>0</v>
      </c>
      <c r="E30" s="2">
        <v>-1781.45</v>
      </c>
      <c r="F30" t="s">
        <v>2</v>
      </c>
    </row>
    <row r="31" spans="1:8" s="4" customFormat="1" x14ac:dyDescent="0.15">
      <c r="A31" s="4" t="s">
        <v>30</v>
      </c>
      <c r="B31" s="4" t="s">
        <v>31</v>
      </c>
      <c r="C31" s="5">
        <v>20000</v>
      </c>
      <c r="D31" s="5">
        <v>0</v>
      </c>
      <c r="E31" s="5">
        <v>20000</v>
      </c>
      <c r="F31" s="4" t="s">
        <v>2</v>
      </c>
    </row>
    <row r="32" spans="1:8" s="4" customFormat="1" x14ac:dyDescent="0.15">
      <c r="A32" s="4" t="s">
        <v>30</v>
      </c>
      <c r="B32" s="4" t="s">
        <v>32</v>
      </c>
      <c r="C32" s="5">
        <v>816666.64</v>
      </c>
      <c r="D32" s="5">
        <v>0</v>
      </c>
      <c r="E32" s="5">
        <v>816666.64</v>
      </c>
      <c r="F32" s="4" t="s">
        <v>2</v>
      </c>
    </row>
    <row r="33" spans="1:6" s="4" customFormat="1" x14ac:dyDescent="0.15">
      <c r="A33" s="4" t="s">
        <v>30</v>
      </c>
      <c r="B33" s="4" t="s">
        <v>33</v>
      </c>
      <c r="C33" s="5">
        <v>272900</v>
      </c>
      <c r="D33" s="5">
        <v>0</v>
      </c>
      <c r="E33" s="5">
        <v>272900</v>
      </c>
      <c r="F33" s="4" t="s">
        <v>2</v>
      </c>
    </row>
    <row r="34" spans="1:6" s="4" customFormat="1" x14ac:dyDescent="0.15">
      <c r="A34" s="4" t="s">
        <v>30</v>
      </c>
      <c r="B34" s="4" t="s">
        <v>34</v>
      </c>
      <c r="C34" s="5">
        <v>320000</v>
      </c>
      <c r="D34" s="5">
        <v>0</v>
      </c>
      <c r="E34" s="5">
        <v>320000</v>
      </c>
      <c r="F34" s="4" t="s">
        <v>2</v>
      </c>
    </row>
    <row r="35" spans="1:6" s="4" customFormat="1" x14ac:dyDescent="0.15">
      <c r="A35" s="4" t="s">
        <v>30</v>
      </c>
      <c r="B35" s="4" t="s">
        <v>35</v>
      </c>
      <c r="C35" s="5">
        <v>240000</v>
      </c>
      <c r="D35" s="5">
        <v>0</v>
      </c>
      <c r="E35" s="5">
        <v>240000</v>
      </c>
      <c r="F35" s="4" t="s">
        <v>2</v>
      </c>
    </row>
    <row r="36" spans="1:6" s="6" customFormat="1" ht="14" thickBot="1" x14ac:dyDescent="0.2">
      <c r="A36" s="6" t="s">
        <v>30</v>
      </c>
      <c r="B36" s="6" t="s">
        <v>2</v>
      </c>
      <c r="C36" s="7">
        <v>1669566.64</v>
      </c>
      <c r="D36" s="7">
        <v>0</v>
      </c>
      <c r="E36" s="7">
        <v>1669566.64</v>
      </c>
      <c r="F36" s="6" t="s">
        <v>2</v>
      </c>
    </row>
    <row r="37" spans="1:6" s="4" customFormat="1" x14ac:dyDescent="0.15">
      <c r="A37" s="14" t="s">
        <v>36</v>
      </c>
      <c r="B37" s="15" t="s">
        <v>37</v>
      </c>
      <c r="C37" s="16">
        <v>640000</v>
      </c>
      <c r="D37" s="16">
        <v>0</v>
      </c>
      <c r="E37" s="17">
        <v>640000</v>
      </c>
      <c r="F37" s="4" t="s">
        <v>2</v>
      </c>
    </row>
    <row r="38" spans="1:6" s="6" customFormat="1" x14ac:dyDescent="0.15">
      <c r="A38" s="18" t="s">
        <v>36</v>
      </c>
      <c r="B38" s="10" t="s">
        <v>2</v>
      </c>
      <c r="C38" s="11">
        <v>640000</v>
      </c>
      <c r="D38" s="11">
        <v>0</v>
      </c>
      <c r="E38" s="19">
        <v>640000</v>
      </c>
      <c r="F38" s="6" t="s">
        <v>2</v>
      </c>
    </row>
    <row r="39" spans="1:6" s="4" customFormat="1" x14ac:dyDescent="0.15">
      <c r="A39" s="20" t="s">
        <v>38</v>
      </c>
      <c r="B39" s="8" t="s">
        <v>39</v>
      </c>
      <c r="C39" s="9">
        <v>100000</v>
      </c>
      <c r="D39" s="9">
        <v>0</v>
      </c>
      <c r="E39" s="21">
        <v>100000</v>
      </c>
      <c r="F39" s="4" t="s">
        <v>2</v>
      </c>
    </row>
    <row r="40" spans="1:6" s="6" customFormat="1" x14ac:dyDescent="0.15">
      <c r="A40" s="18" t="s">
        <v>38</v>
      </c>
      <c r="B40" s="10" t="s">
        <v>2</v>
      </c>
      <c r="C40" s="11">
        <v>100000</v>
      </c>
      <c r="D40" s="11">
        <v>0</v>
      </c>
      <c r="E40" s="19">
        <v>100000</v>
      </c>
      <c r="F40" s="6" t="s">
        <v>2</v>
      </c>
    </row>
    <row r="41" spans="1:6" x14ac:dyDescent="0.15">
      <c r="A41" s="22" t="s">
        <v>40</v>
      </c>
      <c r="B41" s="12" t="s">
        <v>41</v>
      </c>
      <c r="C41" s="13">
        <v>1150</v>
      </c>
      <c r="D41" s="13">
        <v>0</v>
      </c>
      <c r="E41" s="23">
        <v>1150</v>
      </c>
      <c r="F41" t="s">
        <v>2</v>
      </c>
    </row>
    <row r="42" spans="1:6" x14ac:dyDescent="0.15">
      <c r="A42" s="22" t="s">
        <v>40</v>
      </c>
      <c r="B42" s="12" t="s">
        <v>2</v>
      </c>
      <c r="C42" s="13">
        <v>1150</v>
      </c>
      <c r="D42" s="13">
        <v>0</v>
      </c>
      <c r="E42" s="23">
        <v>1150</v>
      </c>
      <c r="F42" t="s">
        <v>2</v>
      </c>
    </row>
    <row r="43" spans="1:6" x14ac:dyDescent="0.15">
      <c r="A43" s="22" t="s">
        <v>42</v>
      </c>
      <c r="B43" s="12" t="s">
        <v>43</v>
      </c>
      <c r="C43" s="13">
        <v>1450</v>
      </c>
      <c r="D43" s="13">
        <v>0</v>
      </c>
      <c r="E43" s="23">
        <v>1450</v>
      </c>
      <c r="F43" t="s">
        <v>2</v>
      </c>
    </row>
    <row r="44" spans="1:6" x14ac:dyDescent="0.15">
      <c r="A44" s="22" t="s">
        <v>42</v>
      </c>
      <c r="B44" s="12" t="s">
        <v>2</v>
      </c>
      <c r="C44" s="13">
        <v>1450</v>
      </c>
      <c r="D44" s="13">
        <v>0</v>
      </c>
      <c r="E44" s="23">
        <v>1450</v>
      </c>
      <c r="F44" t="s">
        <v>2</v>
      </c>
    </row>
    <row r="45" spans="1:6" x14ac:dyDescent="0.15">
      <c r="A45" s="22" t="s">
        <v>44</v>
      </c>
      <c r="B45" s="12" t="s">
        <v>45</v>
      </c>
      <c r="C45" s="13">
        <v>40</v>
      </c>
      <c r="D45" s="13">
        <v>0</v>
      </c>
      <c r="E45" s="23">
        <v>40</v>
      </c>
      <c r="F45" t="s">
        <v>2</v>
      </c>
    </row>
    <row r="46" spans="1:6" x14ac:dyDescent="0.15">
      <c r="A46" s="22" t="s">
        <v>44</v>
      </c>
      <c r="B46" s="12" t="s">
        <v>2</v>
      </c>
      <c r="C46" s="13">
        <v>40</v>
      </c>
      <c r="D46" s="13">
        <v>0</v>
      </c>
      <c r="E46" s="23">
        <v>40</v>
      </c>
      <c r="F46" t="s">
        <v>2</v>
      </c>
    </row>
    <row r="47" spans="1:6" x14ac:dyDescent="0.15">
      <c r="A47" s="22" t="s">
        <v>46</v>
      </c>
      <c r="B47" s="12" t="s">
        <v>47</v>
      </c>
      <c r="C47" s="13">
        <v>300</v>
      </c>
      <c r="D47" s="13">
        <v>0</v>
      </c>
      <c r="E47" s="23">
        <v>300</v>
      </c>
      <c r="F47" t="s">
        <v>2</v>
      </c>
    </row>
    <row r="48" spans="1:6" x14ac:dyDescent="0.15">
      <c r="A48" s="22" t="s">
        <v>46</v>
      </c>
      <c r="B48" s="12" t="s">
        <v>2</v>
      </c>
      <c r="C48" s="13">
        <v>300</v>
      </c>
      <c r="D48" s="13">
        <v>0</v>
      </c>
      <c r="E48" s="23">
        <v>300</v>
      </c>
      <c r="F48" t="s">
        <v>2</v>
      </c>
    </row>
    <row r="49" spans="1:6" s="6" customFormat="1" x14ac:dyDescent="0.15">
      <c r="A49" s="18" t="s">
        <v>48</v>
      </c>
      <c r="B49" s="10" t="s">
        <v>2</v>
      </c>
      <c r="C49" s="11">
        <v>2940</v>
      </c>
      <c r="D49" s="11">
        <v>0</v>
      </c>
      <c r="E49" s="19">
        <v>2940</v>
      </c>
      <c r="F49" s="6" t="s">
        <v>2</v>
      </c>
    </row>
    <row r="50" spans="1:6" s="4" customFormat="1" x14ac:dyDescent="0.15">
      <c r="A50" s="20" t="s">
        <v>49</v>
      </c>
      <c r="B50" s="8" t="s">
        <v>50</v>
      </c>
      <c r="C50" s="9">
        <v>201566.06</v>
      </c>
      <c r="D50" s="9">
        <v>0</v>
      </c>
      <c r="E50" s="21">
        <v>201566.06</v>
      </c>
      <c r="F50" s="4" t="s">
        <v>2</v>
      </c>
    </row>
    <row r="51" spans="1:6" s="6" customFormat="1" ht="14" thickBot="1" x14ac:dyDescent="0.2">
      <c r="A51" s="18" t="s">
        <v>49</v>
      </c>
      <c r="B51" s="10" t="s">
        <v>2</v>
      </c>
      <c r="C51" s="11">
        <v>201566.06</v>
      </c>
      <c r="D51" s="11">
        <v>0</v>
      </c>
      <c r="E51" s="19">
        <v>201566.06</v>
      </c>
      <c r="F51" s="6" t="s">
        <v>2</v>
      </c>
    </row>
    <row r="52" spans="1:6" s="25" customFormat="1" ht="14" thickBot="1" x14ac:dyDescent="0.2">
      <c r="A52" s="24" t="s">
        <v>51</v>
      </c>
      <c r="B52" s="25" t="s">
        <v>2</v>
      </c>
      <c r="C52" s="26">
        <v>944506.06</v>
      </c>
      <c r="D52" s="26">
        <v>0</v>
      </c>
      <c r="E52" s="26">
        <v>944506.06</v>
      </c>
      <c r="F52" s="25" t="s">
        <v>2</v>
      </c>
    </row>
    <row r="53" spans="1:6" x14ac:dyDescent="0.15">
      <c r="A53" t="s">
        <v>52</v>
      </c>
      <c r="B53" t="s">
        <v>2</v>
      </c>
      <c r="C53" s="2">
        <v>-2181380.41</v>
      </c>
      <c r="D53" s="2">
        <v>0</v>
      </c>
      <c r="E53" s="2">
        <v>-2181380.41</v>
      </c>
      <c r="F53" t="s">
        <v>2</v>
      </c>
    </row>
    <row r="54" spans="1:6" x14ac:dyDescent="0.15">
      <c r="A54" t="s">
        <v>53</v>
      </c>
      <c r="B54" t="s">
        <v>2</v>
      </c>
      <c r="C54" s="2">
        <v>2181380.41</v>
      </c>
      <c r="D54" s="2">
        <v>0</v>
      </c>
      <c r="E54" s="2">
        <v>2181380.41</v>
      </c>
      <c r="F54" t="s">
        <v>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Happy</cp:lastModifiedBy>
  <cp:revision>1</cp:revision>
  <dcterms:modified xsi:type="dcterms:W3CDTF">2020-11-06T21:42:22Z</dcterms:modified>
  <cp:category/>
</cp:coreProperties>
</file>